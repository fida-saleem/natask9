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64F492D-1B19-4778-973B-839F520E83D7}" xr6:coauthVersionLast="47" xr6:coauthVersionMax="47" xr10:uidLastSave="{00000000-0000-0000-0000-000000000000}"/>
  <bookViews>
    <workbookView xWindow="-108" yWindow="-108" windowWidth="23256" windowHeight="12456" xr2:uid="{C07036AD-E552-47FA-9BA7-302E85FD33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62" i="1" l="1"/>
  <c r="H59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L67" i="1"/>
  <c r="L57" i="1"/>
  <c r="L62" i="1"/>
  <c r="L58" i="1"/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H60" i="1"/>
  <c r="H58" i="1"/>
  <c r="H57" i="1"/>
  <c r="H55" i="1"/>
  <c r="H54" i="1"/>
  <c r="H56" i="1"/>
  <c r="H53" i="1"/>
</calcChain>
</file>

<file path=xl/sharedStrings.xml><?xml version="1.0" encoding="utf-8"?>
<sst xmlns="http://schemas.openxmlformats.org/spreadsheetml/2006/main" count="420" uniqueCount="122">
  <si>
    <t>Order_ID</t>
  </si>
  <si>
    <t>Order_Date</t>
  </si>
  <si>
    <t>Customer</t>
  </si>
  <si>
    <t>Product</t>
  </si>
  <si>
    <t>Category</t>
  </si>
  <si>
    <t>Region</t>
  </si>
  <si>
    <t>Salesperson</t>
  </si>
  <si>
    <t>Quantity</t>
  </si>
  <si>
    <t>Unit_Price</t>
  </si>
  <si>
    <t>Discount</t>
  </si>
  <si>
    <t>Payment_Mode</t>
  </si>
  <si>
    <t>ORD001</t>
  </si>
  <si>
    <t>Meera</t>
  </si>
  <si>
    <t>Mouse</t>
  </si>
  <si>
    <t>Accessories</t>
  </si>
  <si>
    <t>South</t>
  </si>
  <si>
    <t>John</t>
  </si>
  <si>
    <t>Cash</t>
  </si>
  <si>
    <t>ORD002</t>
  </si>
  <si>
    <t>Webcam</t>
  </si>
  <si>
    <t>Divya</t>
  </si>
  <si>
    <t>ORD003</t>
  </si>
  <si>
    <t>Diya</t>
  </si>
  <si>
    <t>Monitor</t>
  </si>
  <si>
    <t>Electronics</t>
  </si>
  <si>
    <t>East</t>
  </si>
  <si>
    <t>UPI</t>
  </si>
  <si>
    <t>ORD004</t>
  </si>
  <si>
    <t>ORD005</t>
  </si>
  <si>
    <t>Net Banking</t>
  </si>
  <si>
    <t>ORD006</t>
  </si>
  <si>
    <t>Vishnu</t>
  </si>
  <si>
    <t>ORD007</t>
  </si>
  <si>
    <t>Anjali</t>
  </si>
  <si>
    <t>ORD008</t>
  </si>
  <si>
    <t>Fathima</t>
  </si>
  <si>
    <t>Headset</t>
  </si>
  <si>
    <t>Priya</t>
  </si>
  <si>
    <t>Card</t>
  </si>
  <si>
    <t>ORD009</t>
  </si>
  <si>
    <t>Sneha</t>
  </si>
  <si>
    <t>West</t>
  </si>
  <si>
    <t>Ameen</t>
  </si>
  <si>
    <t>ORD010</t>
  </si>
  <si>
    <t>Sanjay</t>
  </si>
  <si>
    <t>Printer</t>
  </si>
  <si>
    <t>Kiran</t>
  </si>
  <si>
    <t>ORD011</t>
  </si>
  <si>
    <t>Adil</t>
  </si>
  <si>
    <t>ORD012</t>
  </si>
  <si>
    <t>Neha</t>
  </si>
  <si>
    <t>Keyboard</t>
  </si>
  <si>
    <t>ORD013</t>
  </si>
  <si>
    <t>Nikhil</t>
  </si>
  <si>
    <t>ORD014</t>
  </si>
  <si>
    <t>Akhil</t>
  </si>
  <si>
    <t>North</t>
  </si>
  <si>
    <t>ORD015</t>
  </si>
  <si>
    <t>SSD</t>
  </si>
  <si>
    <t>ORD016</t>
  </si>
  <si>
    <t>Rahul</t>
  </si>
  <si>
    <t>ORD017</t>
  </si>
  <si>
    <t>ORD018</t>
  </si>
  <si>
    <t>Arun</t>
  </si>
  <si>
    <t>ORD019</t>
  </si>
  <si>
    <t>ORD020</t>
  </si>
  <si>
    <t>ORD021</t>
  </si>
  <si>
    <t>ORD022</t>
  </si>
  <si>
    <t>ORD023</t>
  </si>
  <si>
    <t>ORD024</t>
  </si>
  <si>
    <t>ORD025</t>
  </si>
  <si>
    <t>ORD026</t>
  </si>
  <si>
    <t>Amal</t>
  </si>
  <si>
    <t>ORD027</t>
  </si>
  <si>
    <t>ORD028</t>
  </si>
  <si>
    <t>ORD029</t>
  </si>
  <si>
    <t>Riya</t>
  </si>
  <si>
    <t>ORD030</t>
  </si>
  <si>
    <t>ORD031</t>
  </si>
  <si>
    <t>Laptop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</si>
  <si>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</si>
  <si>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</si>
  <si>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</si>
  <si>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</si>
  <si>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</si>
  <si>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</si>
  <si>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</si>
  <si>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</si>
  <si>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</si>
  <si>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</si>
  <si>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</si>
  <si>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</si>
  <si>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</si>
  <si>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</si>
  <si>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</si>
  <si>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</si>
  <si>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</si>
  <si>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</si>
  <si>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</si>
  <si>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sum</t>
  </si>
  <si>
    <t>avg</t>
  </si>
  <si>
    <t>max</t>
  </si>
  <si>
    <t>min</t>
  </si>
  <si>
    <t>counta</t>
  </si>
  <si>
    <t>if</t>
  </si>
  <si>
    <t>countif</t>
  </si>
  <si>
    <t>sumif</t>
  </si>
  <si>
    <t>arithmetic</t>
  </si>
  <si>
    <t>arithmetic 2</t>
  </si>
  <si>
    <t>product</t>
  </si>
  <si>
    <t>category</t>
  </si>
  <si>
    <t>xlookup</t>
  </si>
  <si>
    <t>salesperson</t>
  </si>
  <si>
    <t>Supplier</t>
  </si>
  <si>
    <t>Stock_Status</t>
  </si>
  <si>
    <t>TechWorld</t>
  </si>
  <si>
    <t>In Stock</t>
  </si>
  <si>
    <t>Prime Systems</t>
  </si>
  <si>
    <t>Smart Traders</t>
  </si>
  <si>
    <t>Digital Hub</t>
  </si>
  <si>
    <t>Low Stock</t>
  </si>
  <si>
    <t>stock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</si>
</sst>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dd\-mm\-yyyy"/>
  </numFmts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1F4E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/>
    <xf numFmtId="0" fontId="1" fillId="2" borderId="0" xfId="0" applyFont="1" applyFill="1" applyAlignment="1">
      <alignment horizontal="center" vertical="center"/>
    </xf>
    <xf numFmtId="168" fontId="0" fillId="0" borderId="0" xfId="0" applyNumberFormat="1"/>
    <xf numFmtId="4" fontId="0" fillId="0" borderId="0" xfId="0" applyNumberFormat="1"/>
    <xf numFmtId="9" fontId="0" fillId="0" borderId="0" xfId="0" applyNumberFormat="1"/>
    <xf numFmtId="0" fontId="0" fillId="0" borderId="0" xfId="0" quotePrefix="1"/>
    <xf numFmtId="0" fontId="1" fillId="3" borderId="0" xfId="0" applyFont="1" applyFill="1" applyAlignment="1">
      <alignment horizontal="center" vertical="center"/>
    </xf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0" indent="0" justifyLastLine="0" shrinkToFit="0" readingOrder="0"/>
    </dxf>
    <dxf>
      <numFmt numFmtId="13" formatCode="0%"/>
    </dxf>
    <dxf>
      <numFmt numFmtId="4" formatCode="#,##0.00"/>
    </dxf>
    <dxf>
      <numFmt numFmtId="168" formatCode="dd\-mm\-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0457CF7-7AB9-4D6C-B16F-2BF1CA2149C0}" name="Table2" displayName="Table2" ref="A1:N51" totalsRowShown="0" headerRowDxfId="4">
  <autoFilter ref="A1:N51" xr:uid="{20457CF7-7AB9-4D6C-B16F-2BF1CA2149C0}"/>
  <tableColumns count="14">
    <tableColumn id="1" xr3:uid="{7BA18C68-8A05-46CD-9A64-4B62CF89C1CE}" name="Order_ID"/>
    <tableColumn id="2" xr3:uid="{286C879F-6A51-4F3B-B6EB-07EB910C1800}" name="Order_Date" dataDxfId="7"/>
    <tableColumn id="3" xr3:uid="{1F08610C-F1F9-47E6-B090-075D73FAC5AA}" name="Customer"/>
    <tableColumn id="4" xr3:uid="{7D8E3B57-9728-433B-AA11-AE458B437FFE}" name="Product"/>
    <tableColumn id="5" xr3:uid="{956B63D1-D18C-4471-833D-B087E3D53BC8}" name="Category"/>
    <tableColumn id="6" xr3:uid="{7C926007-B1CA-42DD-A417-42784C09D128}" name="Region"/>
    <tableColumn id="7" xr3:uid="{7C09C01A-2F97-4EA8-A6B6-58CBF9F11DEB}" name="Salesperson"/>
    <tableColumn id="8" xr3:uid="{A455A724-3FFE-4AAC-A5BD-C08D90E70753}" name="Quantity"/>
    <tableColumn id="9" xr3:uid="{AF4E84AE-4DEC-47E2-83B4-6149E4A2F493}" name="Unit_Price" dataDxfId="6"/>
    <tableColumn id="10" xr3:uid="{E94DA963-F84E-4E42-AEE4-780C836DF08C}" name="Discount" dataDxfId="5"/>
    <tableColumn id="11" xr3:uid="{4BDFFD05-892E-4825-97BD-FB71D633D5CD}" name="Payment_Mode"/>
    <tableColumn id="12" xr3:uid="{84F12F45-12DF-4092-9164-C3DFBA3E4905}" name="arithmetic" dataDxfId="3">
      <calculatedColumnFormula>Table2[[#This Row],[Quantity]]*Table2[[#This Row],[Unit_Price]]</calculatedColumnFormula>
    </tableColumn>
    <tableColumn id="13" xr3:uid="{BCB306D4-F40A-42BC-8C43-0023EF1FBEF9}" name="arithmetic 2" dataDxfId="2">
      <calculatedColumnFormula>Table2[[#This Row],[Quantity]]*Table2[[#This Row],[Unit_Price]]*(1-Table2[[#This Row],[Discount]])</calculatedColumnFormula>
    </tableColumn>
    <tableColumn id="14" xr3:uid="{11B07449-D21F-47FF-A9A2-0AA6FCC720DB}" name="if" dataDxfId="0">
      <calculatedColumnFormula>IF(Table2[[#This Row],[Unit_Price]]&gt;=50000,"High value","normal")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412BCEE-09E6-49D7-899A-7504DB2F0ABD}" name="Table3" displayName="Table3" ref="K56:L58" totalsRowShown="0">
  <autoFilter ref="K56:L58" xr:uid="{F412BCEE-09E6-49D7-899A-7504DB2F0ABD}"/>
  <tableColumns count="2">
    <tableColumn id="1" xr3:uid="{5672287C-2F91-4EA8-8B11-99EC999D0A9B}" name="product"/>
    <tableColumn id="2" xr3:uid="{2B9C170B-B69A-474D-9423-9EA93089F5AE}" name="category" dataDxfId="1">
      <calculatedColumnFormula>_xlfn.XLOOKUP(K57,Table2[Product],Table2[Category])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75A3891-18B5-4659-B866-9461C533F4B0}" name="Table5" displayName="Table5" ref="K61:L63" totalsRowShown="0">
  <autoFilter ref="K61:L63" xr:uid="{B75A3891-18B5-4659-B866-9461C533F4B0}"/>
  <tableColumns count="2">
    <tableColumn id="1" xr3:uid="{4B739F77-8B02-4AFD-BFFA-4F8DC31A0775}" name="product"/>
    <tableColumn id="2" xr3:uid="{7BD1E98B-BA41-4E9D-898D-BFD2AFA38919}" name="salesperson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26EBA61-AC3C-4AB4-B4DB-9B2C4D0CFA9E}" name="ProductLookupTable" displayName="ProductLookupTable" ref="A57:E65">
  <autoFilter ref="A57:E65" xr:uid="{D26EBA61-AC3C-4AB4-B4DB-9B2C4D0CFA9E}"/>
  <tableColumns count="5">
    <tableColumn id="1" xr3:uid="{7B7DD71E-3C9C-4AAE-A4B0-C516F98D6D59}" name="Product"/>
    <tableColumn id="2" xr3:uid="{28696548-7F28-4270-ABDA-5616C2C57048}" name="Category"/>
    <tableColumn id="3" xr3:uid="{82CF425A-516D-45F5-B0BD-1196458D6620}" name="Unit_Price"/>
    <tableColumn id="4" xr3:uid="{9D7C6FF2-E080-4324-A960-3D36FBBE33C0}" name="Supplier"/>
    <tableColumn id="5" xr3:uid="{8189B1E0-DB56-4226-B111-13AF591EE228}" name="Stock_Status"/>
  </tableColumns>
  <tableStyleInfo name="TableStyleMedium4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A939FEF7-F4E9-4E1A-B29C-EA5EE02C9587}" name="Table8" displayName="Table8" ref="K66:L68" totalsRowShown="0">
  <autoFilter ref="K66:L68" xr:uid="{A939FEF7-F4E9-4E1A-B29C-EA5EE02C9587}"/>
  <tableColumns count="2">
    <tableColumn id="1" xr3:uid="{992062ED-3E04-4489-912C-8C54BA93BDB6}" name="product"/>
    <tableColumn id="2" xr3:uid="{9880BBDF-77AA-4B1C-B810-5F39106077B8}" name="sto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3F7D50-C8EE-4F70-9692-3394721928CF}">
  <dimension ref="A1:N67"/>
  <sheetViews>
    <sheetView tabSelected="1" topLeftCell="A52" workbookViewId="0">
      <selection activeCell="H63" sqref="H63"/>
    </sheetView>
  </sheetViews>
  <sheetFormatPr defaultRowHeight="14.4" x14ac:dyDescent="0.3"/>
  <cols>
    <col min="1" max="1" width="11.88671875" customWidth="1"/>
    <col min="2" max="2" width="12.5546875" customWidth="1"/>
    <col min="3" max="3" width="11" customWidth="1"/>
    <col min="4" max="4" width="10.109375" customWidth="1"/>
    <col min="5" max="5" width="12" customWidth="1"/>
    <col min="6" max="6" width="9.77734375" customWidth="1"/>
    <col min="7" max="7" width="12.88671875" customWidth="1"/>
    <col min="8" max="8" width="10.21875" customWidth="1"/>
    <col min="9" max="9" width="12.21875" customWidth="1"/>
    <col min="10" max="10" width="10.44140625" customWidth="1"/>
    <col min="11" max="11" width="18.5546875" customWidth="1"/>
    <col min="12" max="12" width="12.88671875" customWidth="1"/>
    <col min="13" max="13" width="12.44140625" customWidth="1"/>
    <col min="20" max="21" width="8.8867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7" t="s">
        <v>107</v>
      </c>
      <c r="M1" s="7" t="s">
        <v>108</v>
      </c>
      <c r="N1" s="7" t="s">
        <v>104</v>
      </c>
    </row>
    <row r="2" spans="1:14" x14ac:dyDescent="0.3">
      <c r="A2" s="1" t="s">
        <v>11</v>
      </c>
      <c r="B2" s="3">
        <v>46054</v>
      </c>
      <c r="C2" s="1" t="s">
        <v>12</v>
      </c>
      <c r="D2" s="1" t="s">
        <v>13</v>
      </c>
      <c r="E2" s="1" t="s">
        <v>14</v>
      </c>
      <c r="F2" s="1" t="s">
        <v>15</v>
      </c>
      <c r="G2" s="1" t="s">
        <v>16</v>
      </c>
      <c r="H2" s="1">
        <v>1</v>
      </c>
      <c r="I2" s="4">
        <v>800</v>
      </c>
      <c r="J2" s="5">
        <v>0.1</v>
      </c>
      <c r="K2" s="1" t="s">
        <v>17</v>
      </c>
      <c r="L2">
        <f>Table2[[#This Row],[Quantity]]*Table2[[#This Row],[Unit_Price]]</f>
        <v>800</v>
      </c>
      <c r="M2">
        <f>Table2[[#This Row],[Quantity]]*Table2[[#This Row],[Unit_Price]]*(1-Table2[[#This Row],[Discount]])</f>
        <v>720</v>
      </c>
      <c r="N2" t="str">
        <f>IF(Table2[[#This Row],[Unit_Price]]&gt;=50000,"High value","normal")</f>
        <v>normal</v>
      </c>
    </row>
    <row r="3" spans="1:14" x14ac:dyDescent="0.3">
      <c r="A3" s="1" t="s">
        <v>18</v>
      </c>
      <c r="B3" s="3">
        <v>46034</v>
      </c>
      <c r="C3" s="1" t="s">
        <v>12</v>
      </c>
      <c r="D3" s="1" t="s">
        <v>19</v>
      </c>
      <c r="E3" s="1" t="s">
        <v>14</v>
      </c>
      <c r="F3" s="1" t="s">
        <v>15</v>
      </c>
      <c r="G3" s="1" t="s">
        <v>20</v>
      </c>
      <c r="H3" s="1">
        <v>1</v>
      </c>
      <c r="I3" s="4">
        <v>3500</v>
      </c>
      <c r="J3" s="5">
        <v>0</v>
      </c>
      <c r="K3" s="1" t="s">
        <v>17</v>
      </c>
      <c r="L3">
        <f>Table2[[#This Row],[Quantity]]*Table2[[#This Row],[Unit_Price]]</f>
        <v>3500</v>
      </c>
      <c r="M3">
        <f>Table2[[#This Row],[Quantity]]*Table2[[#This Row],[Unit_Price]]*(1-Table2[[#This Row],[Discount]])</f>
        <v>3500</v>
      </c>
      <c r="N3" t="str">
        <f>IF(Table2[[#This Row],[Unit_Price]]&gt;=50000,"High value","normal")</f>
        <v>normal</v>
      </c>
    </row>
    <row r="4" spans="1:14" x14ac:dyDescent="0.3">
      <c r="A4" s="1" t="s">
        <v>21</v>
      </c>
      <c r="B4" s="3">
        <v>46080</v>
      </c>
      <c r="C4" s="1" t="s">
        <v>22</v>
      </c>
      <c r="D4" s="1" t="s">
        <v>23</v>
      </c>
      <c r="E4" s="1" t="s">
        <v>24</v>
      </c>
      <c r="F4" s="1" t="s">
        <v>25</v>
      </c>
      <c r="G4" s="1" t="s">
        <v>16</v>
      </c>
      <c r="H4" s="1">
        <v>7</v>
      </c>
      <c r="I4" s="4">
        <v>12000</v>
      </c>
      <c r="J4" s="5">
        <v>0.05</v>
      </c>
      <c r="K4" s="1" t="s">
        <v>26</v>
      </c>
      <c r="L4">
        <f>Table2[[#This Row],[Quantity]]*Table2[[#This Row],[Unit_Price]]</f>
        <v>84000</v>
      </c>
      <c r="M4">
        <f>Table2[[#This Row],[Quantity]]*Table2[[#This Row],[Unit_Price]]*(1-Table2[[#This Row],[Discount]])</f>
        <v>79800</v>
      </c>
      <c r="N4" t="str">
        <f>IF(Table2[[#This Row],[Unit_Price]]&gt;=50000,"High value","normal")</f>
        <v>normal</v>
      </c>
    </row>
    <row r="5" spans="1:14" x14ac:dyDescent="0.3">
      <c r="A5" s="1" t="s">
        <v>27</v>
      </c>
      <c r="B5" s="3">
        <v>46042</v>
      </c>
      <c r="C5" s="1" t="s">
        <v>12</v>
      </c>
      <c r="D5" s="1" t="s">
        <v>19</v>
      </c>
      <c r="E5" s="1" t="s">
        <v>14</v>
      </c>
      <c r="F5" s="1" t="s">
        <v>25</v>
      </c>
      <c r="G5" s="1" t="s">
        <v>16</v>
      </c>
      <c r="H5" s="1">
        <v>6</v>
      </c>
      <c r="I5" s="4">
        <v>3500</v>
      </c>
      <c r="J5" s="5">
        <v>0.1</v>
      </c>
      <c r="K5" s="1" t="s">
        <v>17</v>
      </c>
      <c r="L5">
        <f>Table2[[#This Row],[Quantity]]*Table2[[#This Row],[Unit_Price]]</f>
        <v>21000</v>
      </c>
      <c r="M5">
        <f>Table2[[#This Row],[Quantity]]*Table2[[#This Row],[Unit_Price]]*(1-Table2[[#This Row],[Discount]])</f>
        <v>18900</v>
      </c>
      <c r="N5" t="str">
        <f>IF(Table2[[#This Row],[Unit_Price]]&gt;=50000,"High value","normal")</f>
        <v>normal</v>
      </c>
    </row>
    <row r="6" spans="1:14" x14ac:dyDescent="0.3">
      <c r="A6" s="1" t="s">
        <v>28</v>
      </c>
      <c r="B6" s="3">
        <v>46067</v>
      </c>
      <c r="C6" s="1" t="s">
        <v>22</v>
      </c>
      <c r="D6" s="1" t="s">
        <v>19</v>
      </c>
      <c r="E6" s="1" t="s">
        <v>14</v>
      </c>
      <c r="F6" s="1" t="s">
        <v>25</v>
      </c>
      <c r="G6" s="1" t="s">
        <v>16</v>
      </c>
      <c r="H6" s="1">
        <v>2</v>
      </c>
      <c r="I6" s="4">
        <v>3500</v>
      </c>
      <c r="J6" s="5">
        <v>0.1</v>
      </c>
      <c r="K6" s="1" t="s">
        <v>29</v>
      </c>
      <c r="L6">
        <f>Table2[[#This Row],[Quantity]]*Table2[[#This Row],[Unit_Price]]</f>
        <v>7000</v>
      </c>
      <c r="M6">
        <f>Table2[[#This Row],[Quantity]]*Table2[[#This Row],[Unit_Price]]*(1-Table2[[#This Row],[Discount]])</f>
        <v>6300</v>
      </c>
      <c r="N6" t="str">
        <f>IF(Table2[[#This Row],[Unit_Price]]&gt;=50000,"High value","normal")</f>
        <v>normal</v>
      </c>
    </row>
    <row r="7" spans="1:14" x14ac:dyDescent="0.3">
      <c r="A7" s="1" t="s">
        <v>30</v>
      </c>
      <c r="B7" s="3">
        <v>46093</v>
      </c>
      <c r="C7" s="1" t="s">
        <v>31</v>
      </c>
      <c r="D7" s="1" t="s">
        <v>13</v>
      </c>
      <c r="E7" s="1" t="s">
        <v>14</v>
      </c>
      <c r="F7" s="1" t="s">
        <v>25</v>
      </c>
      <c r="G7" s="1" t="s">
        <v>20</v>
      </c>
      <c r="H7" s="1">
        <v>7</v>
      </c>
      <c r="I7" s="4">
        <v>800</v>
      </c>
      <c r="J7" s="5">
        <v>0</v>
      </c>
      <c r="K7" s="1" t="s">
        <v>26</v>
      </c>
      <c r="L7">
        <f>Table2[[#This Row],[Quantity]]*Table2[[#This Row],[Unit_Price]]</f>
        <v>5600</v>
      </c>
      <c r="M7">
        <f>Table2[[#This Row],[Quantity]]*Table2[[#This Row],[Unit_Price]]*(1-Table2[[#This Row],[Discount]])</f>
        <v>5600</v>
      </c>
      <c r="N7" t="str">
        <f>IF(Table2[[#This Row],[Unit_Price]]&gt;=50000,"High value","normal")</f>
        <v>normal</v>
      </c>
    </row>
    <row r="8" spans="1:14" x14ac:dyDescent="0.3">
      <c r="A8" s="1" t="s">
        <v>32</v>
      </c>
      <c r="B8" s="3">
        <v>46060</v>
      </c>
      <c r="C8" s="1" t="s">
        <v>33</v>
      </c>
      <c r="D8" s="1" t="s">
        <v>13</v>
      </c>
      <c r="E8" s="1" t="s">
        <v>14</v>
      </c>
      <c r="F8" s="1" t="s">
        <v>15</v>
      </c>
      <c r="G8" s="1" t="s">
        <v>16</v>
      </c>
      <c r="H8" s="1">
        <v>1</v>
      </c>
      <c r="I8" s="4">
        <v>800</v>
      </c>
      <c r="J8" s="5">
        <v>0.05</v>
      </c>
      <c r="K8" s="1" t="s">
        <v>29</v>
      </c>
      <c r="L8">
        <f>Table2[[#This Row],[Quantity]]*Table2[[#This Row],[Unit_Price]]</f>
        <v>800</v>
      </c>
      <c r="M8">
        <f>Table2[[#This Row],[Quantity]]*Table2[[#This Row],[Unit_Price]]*(1-Table2[[#This Row],[Discount]])</f>
        <v>760</v>
      </c>
      <c r="N8" t="str">
        <f>IF(Table2[[#This Row],[Unit_Price]]&gt;=50000,"High value","normal")</f>
        <v>normal</v>
      </c>
    </row>
    <row r="9" spans="1:14" x14ac:dyDescent="0.3">
      <c r="A9" s="1" t="s">
        <v>34</v>
      </c>
      <c r="B9" s="3">
        <v>46043</v>
      </c>
      <c r="C9" s="1" t="s">
        <v>35</v>
      </c>
      <c r="D9" s="1" t="s">
        <v>36</v>
      </c>
      <c r="E9" s="1" t="s">
        <v>14</v>
      </c>
      <c r="F9" s="1" t="s">
        <v>25</v>
      </c>
      <c r="G9" s="1" t="s">
        <v>37</v>
      </c>
      <c r="H9" s="1">
        <v>8</v>
      </c>
      <c r="I9" s="4">
        <v>2200</v>
      </c>
      <c r="J9" s="5">
        <v>0.1</v>
      </c>
      <c r="K9" s="1" t="s">
        <v>38</v>
      </c>
      <c r="L9">
        <f>Table2[[#This Row],[Quantity]]*Table2[[#This Row],[Unit_Price]]</f>
        <v>17600</v>
      </c>
      <c r="M9">
        <f>Table2[[#This Row],[Quantity]]*Table2[[#This Row],[Unit_Price]]*(1-Table2[[#This Row],[Discount]])</f>
        <v>15840</v>
      </c>
      <c r="N9" t="str">
        <f>IF(Table2[[#This Row],[Unit_Price]]&gt;=50000,"High value","normal")</f>
        <v>normal</v>
      </c>
    </row>
    <row r="10" spans="1:14" x14ac:dyDescent="0.3">
      <c r="A10" s="1" t="s">
        <v>39</v>
      </c>
      <c r="B10" s="3">
        <v>46043</v>
      </c>
      <c r="C10" s="1" t="s">
        <v>40</v>
      </c>
      <c r="D10" s="1" t="s">
        <v>13</v>
      </c>
      <c r="E10" s="1" t="s">
        <v>14</v>
      </c>
      <c r="F10" s="1" t="s">
        <v>41</v>
      </c>
      <c r="G10" s="1" t="s">
        <v>42</v>
      </c>
      <c r="H10" s="1">
        <v>3</v>
      </c>
      <c r="I10" s="4">
        <v>800</v>
      </c>
      <c r="J10" s="5">
        <v>0.05</v>
      </c>
      <c r="K10" s="1" t="s">
        <v>26</v>
      </c>
      <c r="L10">
        <f>Table2[[#This Row],[Quantity]]*Table2[[#This Row],[Unit_Price]]</f>
        <v>2400</v>
      </c>
      <c r="M10">
        <f>Table2[[#This Row],[Quantity]]*Table2[[#This Row],[Unit_Price]]*(1-Table2[[#This Row],[Discount]])</f>
        <v>2280</v>
      </c>
      <c r="N10" t="str">
        <f>IF(Table2[[#This Row],[Unit_Price]]&gt;=50000,"High value","normal")</f>
        <v>normal</v>
      </c>
    </row>
    <row r="11" spans="1:14" x14ac:dyDescent="0.3">
      <c r="A11" s="1" t="s">
        <v>43</v>
      </c>
      <c r="B11" s="3">
        <v>46027</v>
      </c>
      <c r="C11" s="1" t="s">
        <v>44</v>
      </c>
      <c r="D11" s="1" t="s">
        <v>45</v>
      </c>
      <c r="E11" s="1" t="s">
        <v>24</v>
      </c>
      <c r="F11" s="1" t="s">
        <v>25</v>
      </c>
      <c r="G11" s="1" t="s">
        <v>46</v>
      </c>
      <c r="H11" s="1">
        <v>1</v>
      </c>
      <c r="I11" s="4">
        <v>9500</v>
      </c>
      <c r="J11" s="5">
        <v>0.05</v>
      </c>
      <c r="K11" s="1" t="s">
        <v>38</v>
      </c>
      <c r="L11">
        <f>Table2[[#This Row],[Quantity]]*Table2[[#This Row],[Unit_Price]]</f>
        <v>9500</v>
      </c>
      <c r="M11">
        <f>Table2[[#This Row],[Quantity]]*Table2[[#This Row],[Unit_Price]]*(1-Table2[[#This Row],[Discount]])</f>
        <v>9025</v>
      </c>
      <c r="N11" t="str">
        <f>IF(Table2[[#This Row],[Unit_Price]]&gt;=50000,"High value","normal")</f>
        <v>normal</v>
      </c>
    </row>
    <row r="12" spans="1:14" x14ac:dyDescent="0.3">
      <c r="A12" s="1" t="s">
        <v>47</v>
      </c>
      <c r="B12" s="3">
        <v>46050</v>
      </c>
      <c r="C12" s="1" t="s">
        <v>48</v>
      </c>
      <c r="D12" s="1" t="s">
        <v>13</v>
      </c>
      <c r="E12" s="1" t="s">
        <v>14</v>
      </c>
      <c r="F12" s="1" t="s">
        <v>41</v>
      </c>
      <c r="G12" s="1" t="s">
        <v>46</v>
      </c>
      <c r="H12" s="1">
        <v>4</v>
      </c>
      <c r="I12" s="4">
        <v>800</v>
      </c>
      <c r="J12" s="5">
        <v>0.1</v>
      </c>
      <c r="K12" s="1" t="s">
        <v>29</v>
      </c>
      <c r="L12">
        <f>Table2[[#This Row],[Quantity]]*Table2[[#This Row],[Unit_Price]]</f>
        <v>3200</v>
      </c>
      <c r="M12">
        <f>Table2[[#This Row],[Quantity]]*Table2[[#This Row],[Unit_Price]]*(1-Table2[[#This Row],[Discount]])</f>
        <v>2880</v>
      </c>
      <c r="N12" t="str">
        <f>IF(Table2[[#This Row],[Unit_Price]]&gt;=50000,"High value","normal")</f>
        <v>normal</v>
      </c>
    </row>
    <row r="13" spans="1:14" x14ac:dyDescent="0.3">
      <c r="A13" s="1" t="s">
        <v>49</v>
      </c>
      <c r="B13" s="3">
        <v>46054</v>
      </c>
      <c r="C13" s="1" t="s">
        <v>50</v>
      </c>
      <c r="D13" s="1" t="s">
        <v>51</v>
      </c>
      <c r="E13" s="1" t="s">
        <v>14</v>
      </c>
      <c r="F13" s="1" t="s">
        <v>25</v>
      </c>
      <c r="G13" s="1" t="s">
        <v>20</v>
      </c>
      <c r="H13" s="1">
        <v>5</v>
      </c>
      <c r="I13" s="4">
        <v>1500</v>
      </c>
      <c r="J13" s="5">
        <v>0.05</v>
      </c>
      <c r="K13" s="1" t="s">
        <v>29</v>
      </c>
      <c r="L13">
        <f>Table2[[#This Row],[Quantity]]*Table2[[#This Row],[Unit_Price]]</f>
        <v>7500</v>
      </c>
      <c r="M13">
        <f>Table2[[#This Row],[Quantity]]*Table2[[#This Row],[Unit_Price]]*(1-Table2[[#This Row],[Discount]])</f>
        <v>7125</v>
      </c>
      <c r="N13" t="str">
        <f>IF(Table2[[#This Row],[Unit_Price]]&gt;=50000,"High value","normal")</f>
        <v>normal</v>
      </c>
    </row>
    <row r="14" spans="1:14" x14ac:dyDescent="0.3">
      <c r="A14" s="1" t="s">
        <v>52</v>
      </c>
      <c r="B14" s="3">
        <v>46040</v>
      </c>
      <c r="C14" s="1" t="s">
        <v>53</v>
      </c>
      <c r="D14" s="1" t="s">
        <v>19</v>
      </c>
      <c r="E14" s="1" t="s">
        <v>14</v>
      </c>
      <c r="F14" s="1" t="s">
        <v>41</v>
      </c>
      <c r="G14" s="1" t="s">
        <v>16</v>
      </c>
      <c r="H14" s="1">
        <v>6</v>
      </c>
      <c r="I14" s="4">
        <v>3500</v>
      </c>
      <c r="J14" s="5">
        <v>0.05</v>
      </c>
      <c r="K14" s="1" t="s">
        <v>17</v>
      </c>
      <c r="L14">
        <f>Table2[[#This Row],[Quantity]]*Table2[[#This Row],[Unit_Price]]</f>
        <v>21000</v>
      </c>
      <c r="M14">
        <f>Table2[[#This Row],[Quantity]]*Table2[[#This Row],[Unit_Price]]*(1-Table2[[#This Row],[Discount]])</f>
        <v>19950</v>
      </c>
      <c r="N14" t="str">
        <f>IF(Table2[[#This Row],[Unit_Price]]&gt;=50000,"High value","normal")</f>
        <v>normal</v>
      </c>
    </row>
    <row r="15" spans="1:14" x14ac:dyDescent="0.3">
      <c r="A15" s="1" t="s">
        <v>54</v>
      </c>
      <c r="B15" s="3">
        <v>46110</v>
      </c>
      <c r="C15" s="1" t="s">
        <v>55</v>
      </c>
      <c r="D15" s="1" t="s">
        <v>13</v>
      </c>
      <c r="E15" s="1" t="s">
        <v>14</v>
      </c>
      <c r="F15" s="1" t="s">
        <v>56</v>
      </c>
      <c r="G15" s="1" t="s">
        <v>46</v>
      </c>
      <c r="H15" s="1">
        <v>3</v>
      </c>
      <c r="I15" s="4">
        <v>800</v>
      </c>
      <c r="J15" s="5">
        <v>0.05</v>
      </c>
      <c r="K15" s="1" t="s">
        <v>29</v>
      </c>
      <c r="L15">
        <f>Table2[[#This Row],[Quantity]]*Table2[[#This Row],[Unit_Price]]</f>
        <v>2400</v>
      </c>
      <c r="M15">
        <f>Table2[[#This Row],[Quantity]]*Table2[[#This Row],[Unit_Price]]*(1-Table2[[#This Row],[Discount]])</f>
        <v>2280</v>
      </c>
      <c r="N15" t="str">
        <f>IF(Table2[[#This Row],[Unit_Price]]&gt;=50000,"High value","normal")</f>
        <v>normal</v>
      </c>
    </row>
    <row r="16" spans="1:14" x14ac:dyDescent="0.3">
      <c r="A16" s="1" t="s">
        <v>57</v>
      </c>
      <c r="B16" s="3">
        <v>46110</v>
      </c>
      <c r="C16" s="1" t="s">
        <v>50</v>
      </c>
      <c r="D16" s="1" t="s">
        <v>58</v>
      </c>
      <c r="E16" s="1" t="s">
        <v>24</v>
      </c>
      <c r="F16" s="1" t="s">
        <v>56</v>
      </c>
      <c r="G16" s="1" t="s">
        <v>20</v>
      </c>
      <c r="H16" s="1">
        <v>5</v>
      </c>
      <c r="I16" s="4">
        <v>6500</v>
      </c>
      <c r="J16" s="5">
        <v>0</v>
      </c>
      <c r="K16" s="1" t="s">
        <v>38</v>
      </c>
      <c r="L16">
        <f>Table2[[#This Row],[Quantity]]*Table2[[#This Row],[Unit_Price]]</f>
        <v>32500</v>
      </c>
      <c r="M16">
        <f>Table2[[#This Row],[Quantity]]*Table2[[#This Row],[Unit_Price]]*(1-Table2[[#This Row],[Discount]])</f>
        <v>32500</v>
      </c>
      <c r="N16" t="str">
        <f>IF(Table2[[#This Row],[Unit_Price]]&gt;=50000,"High value","normal")</f>
        <v>normal</v>
      </c>
    </row>
    <row r="17" spans="1:14" x14ac:dyDescent="0.3">
      <c r="A17" s="1" t="s">
        <v>59</v>
      </c>
      <c r="B17" s="3">
        <v>46078</v>
      </c>
      <c r="C17" s="1" t="s">
        <v>60</v>
      </c>
      <c r="D17" s="1" t="s">
        <v>45</v>
      </c>
      <c r="E17" s="1" t="s">
        <v>24</v>
      </c>
      <c r="F17" s="1" t="s">
        <v>41</v>
      </c>
      <c r="G17" s="1" t="s">
        <v>16</v>
      </c>
      <c r="H17" s="1">
        <v>2</v>
      </c>
      <c r="I17" s="4">
        <v>9500</v>
      </c>
      <c r="J17" s="5">
        <v>0.1</v>
      </c>
      <c r="K17" s="1" t="s">
        <v>38</v>
      </c>
      <c r="L17">
        <f>Table2[[#This Row],[Quantity]]*Table2[[#This Row],[Unit_Price]]</f>
        <v>19000</v>
      </c>
      <c r="M17">
        <f>Table2[[#This Row],[Quantity]]*Table2[[#This Row],[Unit_Price]]*(1-Table2[[#This Row],[Discount]])</f>
        <v>17100</v>
      </c>
      <c r="N17" t="str">
        <f>IF(Table2[[#This Row],[Unit_Price]]&gt;=50000,"High value","normal")</f>
        <v>normal</v>
      </c>
    </row>
    <row r="18" spans="1:14" x14ac:dyDescent="0.3">
      <c r="A18" s="1" t="s">
        <v>61</v>
      </c>
      <c r="B18" s="3">
        <v>46104</v>
      </c>
      <c r="C18" s="1" t="s">
        <v>53</v>
      </c>
      <c r="D18" s="1" t="s">
        <v>51</v>
      </c>
      <c r="E18" s="1" t="s">
        <v>14</v>
      </c>
      <c r="F18" s="1" t="s">
        <v>15</v>
      </c>
      <c r="G18" s="1" t="s">
        <v>37</v>
      </c>
      <c r="H18" s="1">
        <v>2</v>
      </c>
      <c r="I18" s="4">
        <v>1500</v>
      </c>
      <c r="J18" s="5">
        <v>0.1</v>
      </c>
      <c r="K18" s="1" t="s">
        <v>38</v>
      </c>
      <c r="L18">
        <f>Table2[[#This Row],[Quantity]]*Table2[[#This Row],[Unit_Price]]</f>
        <v>3000</v>
      </c>
      <c r="M18">
        <f>Table2[[#This Row],[Quantity]]*Table2[[#This Row],[Unit_Price]]*(1-Table2[[#This Row],[Discount]])</f>
        <v>2700</v>
      </c>
      <c r="N18" t="str">
        <f>IF(Table2[[#This Row],[Unit_Price]]&gt;=50000,"High value","normal")</f>
        <v>normal</v>
      </c>
    </row>
    <row r="19" spans="1:14" x14ac:dyDescent="0.3">
      <c r="A19" s="1" t="s">
        <v>62</v>
      </c>
      <c r="B19" s="3">
        <v>46085</v>
      </c>
      <c r="C19" s="1" t="s">
        <v>63</v>
      </c>
      <c r="D19" s="1" t="s">
        <v>51</v>
      </c>
      <c r="E19" s="1" t="s">
        <v>14</v>
      </c>
      <c r="F19" s="1" t="s">
        <v>56</v>
      </c>
      <c r="G19" s="1" t="s">
        <v>42</v>
      </c>
      <c r="H19" s="1">
        <v>1</v>
      </c>
      <c r="I19" s="4">
        <v>1500</v>
      </c>
      <c r="J19" s="5">
        <v>0.1</v>
      </c>
      <c r="K19" s="1" t="s">
        <v>38</v>
      </c>
      <c r="L19">
        <f>Table2[[#This Row],[Quantity]]*Table2[[#This Row],[Unit_Price]]</f>
        <v>1500</v>
      </c>
      <c r="M19">
        <f>Table2[[#This Row],[Quantity]]*Table2[[#This Row],[Unit_Price]]*(1-Table2[[#This Row],[Discount]])</f>
        <v>1350</v>
      </c>
      <c r="N19" t="str">
        <f>IF(Table2[[#This Row],[Unit_Price]]&gt;=50000,"High value","normal")</f>
        <v>normal</v>
      </c>
    </row>
    <row r="20" spans="1:14" x14ac:dyDescent="0.3">
      <c r="A20" s="1" t="s">
        <v>64</v>
      </c>
      <c r="B20" s="3">
        <v>46095</v>
      </c>
      <c r="C20" s="1" t="s">
        <v>33</v>
      </c>
      <c r="D20" s="1" t="s">
        <v>23</v>
      </c>
      <c r="E20" s="1" t="s">
        <v>24</v>
      </c>
      <c r="F20" s="1" t="s">
        <v>56</v>
      </c>
      <c r="G20" s="1" t="s">
        <v>46</v>
      </c>
      <c r="H20" s="1">
        <v>1</v>
      </c>
      <c r="I20" s="4">
        <v>12000</v>
      </c>
      <c r="J20" s="5">
        <v>0.05</v>
      </c>
      <c r="K20" s="1" t="s">
        <v>17</v>
      </c>
      <c r="L20">
        <f>Table2[[#This Row],[Quantity]]*Table2[[#This Row],[Unit_Price]]</f>
        <v>12000</v>
      </c>
      <c r="M20">
        <f>Table2[[#This Row],[Quantity]]*Table2[[#This Row],[Unit_Price]]*(1-Table2[[#This Row],[Discount]])</f>
        <v>11400</v>
      </c>
      <c r="N20" t="str">
        <f>IF(Table2[[#This Row],[Unit_Price]]&gt;=50000,"High value","normal")</f>
        <v>normal</v>
      </c>
    </row>
    <row r="21" spans="1:14" x14ac:dyDescent="0.3">
      <c r="A21" s="1" t="s">
        <v>65</v>
      </c>
      <c r="B21" s="3">
        <v>46093</v>
      </c>
      <c r="C21" s="1" t="s">
        <v>60</v>
      </c>
      <c r="D21" s="1" t="s">
        <v>51</v>
      </c>
      <c r="E21" s="1" t="s">
        <v>14</v>
      </c>
      <c r="F21" s="1" t="s">
        <v>25</v>
      </c>
      <c r="G21" s="1" t="s">
        <v>20</v>
      </c>
      <c r="H21" s="1">
        <v>3</v>
      </c>
      <c r="I21" s="4">
        <v>1500</v>
      </c>
      <c r="J21" s="5">
        <v>0.15</v>
      </c>
      <c r="K21" s="1" t="s">
        <v>29</v>
      </c>
      <c r="L21">
        <f>Table2[[#This Row],[Quantity]]*Table2[[#This Row],[Unit_Price]]</f>
        <v>4500</v>
      </c>
      <c r="M21">
        <f>Table2[[#This Row],[Quantity]]*Table2[[#This Row],[Unit_Price]]*(1-Table2[[#This Row],[Discount]])</f>
        <v>3825</v>
      </c>
      <c r="N21" t="str">
        <f>IF(Table2[[#This Row],[Unit_Price]]&gt;=50000,"High value","normal")</f>
        <v>normal</v>
      </c>
    </row>
    <row r="22" spans="1:14" x14ac:dyDescent="0.3">
      <c r="A22" s="1" t="s">
        <v>66</v>
      </c>
      <c r="B22" s="3">
        <v>46074</v>
      </c>
      <c r="C22" s="1" t="s">
        <v>48</v>
      </c>
      <c r="D22" s="1" t="s">
        <v>23</v>
      </c>
      <c r="E22" s="1" t="s">
        <v>24</v>
      </c>
      <c r="F22" s="1" t="s">
        <v>25</v>
      </c>
      <c r="G22" s="1" t="s">
        <v>46</v>
      </c>
      <c r="H22" s="1">
        <v>4</v>
      </c>
      <c r="I22" s="4">
        <v>12000</v>
      </c>
      <c r="J22" s="5">
        <v>0.1</v>
      </c>
      <c r="K22" s="1" t="s">
        <v>29</v>
      </c>
      <c r="L22">
        <f>Table2[[#This Row],[Quantity]]*Table2[[#This Row],[Unit_Price]]</f>
        <v>48000</v>
      </c>
      <c r="M22">
        <f>Table2[[#This Row],[Quantity]]*Table2[[#This Row],[Unit_Price]]*(1-Table2[[#This Row],[Discount]])</f>
        <v>43200</v>
      </c>
      <c r="N22" t="str">
        <f>IF(Table2[[#This Row],[Unit_Price]]&gt;=50000,"High value","normal")</f>
        <v>normal</v>
      </c>
    </row>
    <row r="23" spans="1:14" x14ac:dyDescent="0.3">
      <c r="A23" s="1" t="s">
        <v>67</v>
      </c>
      <c r="B23" s="3">
        <v>46031</v>
      </c>
      <c r="C23" s="1" t="s">
        <v>35</v>
      </c>
      <c r="D23" s="1" t="s">
        <v>13</v>
      </c>
      <c r="E23" s="1" t="s">
        <v>14</v>
      </c>
      <c r="F23" s="1" t="s">
        <v>56</v>
      </c>
      <c r="G23" s="1" t="s">
        <v>20</v>
      </c>
      <c r="H23" s="1">
        <v>4</v>
      </c>
      <c r="I23" s="4">
        <v>800</v>
      </c>
      <c r="J23" s="5">
        <v>0.05</v>
      </c>
      <c r="K23" s="1" t="s">
        <v>26</v>
      </c>
      <c r="L23">
        <f>Table2[[#This Row],[Quantity]]*Table2[[#This Row],[Unit_Price]]</f>
        <v>3200</v>
      </c>
      <c r="M23">
        <f>Table2[[#This Row],[Quantity]]*Table2[[#This Row],[Unit_Price]]*(1-Table2[[#This Row],[Discount]])</f>
        <v>3040</v>
      </c>
      <c r="N23" t="str">
        <f>IF(Table2[[#This Row],[Unit_Price]]&gt;=50000,"High value","normal")</f>
        <v>normal</v>
      </c>
    </row>
    <row r="24" spans="1:14" x14ac:dyDescent="0.3">
      <c r="A24" s="1" t="s">
        <v>68</v>
      </c>
      <c r="B24" s="3">
        <v>46103</v>
      </c>
      <c r="C24" s="1" t="s">
        <v>63</v>
      </c>
      <c r="D24" s="1" t="s">
        <v>23</v>
      </c>
      <c r="E24" s="1" t="s">
        <v>24</v>
      </c>
      <c r="F24" s="1" t="s">
        <v>15</v>
      </c>
      <c r="G24" s="1" t="s">
        <v>16</v>
      </c>
      <c r="H24" s="1">
        <v>1</v>
      </c>
      <c r="I24" s="4">
        <v>12000</v>
      </c>
      <c r="J24" s="5">
        <v>0</v>
      </c>
      <c r="K24" s="1" t="s">
        <v>17</v>
      </c>
      <c r="L24">
        <f>Table2[[#This Row],[Quantity]]*Table2[[#This Row],[Unit_Price]]</f>
        <v>12000</v>
      </c>
      <c r="M24">
        <f>Table2[[#This Row],[Quantity]]*Table2[[#This Row],[Unit_Price]]*(1-Table2[[#This Row],[Discount]])</f>
        <v>12000</v>
      </c>
      <c r="N24" t="str">
        <f>IF(Table2[[#This Row],[Unit_Price]]&gt;=50000,"High value","normal")</f>
        <v>normal</v>
      </c>
    </row>
    <row r="25" spans="1:14" x14ac:dyDescent="0.3">
      <c r="A25" s="1" t="s">
        <v>69</v>
      </c>
      <c r="B25" s="3">
        <v>46058</v>
      </c>
      <c r="C25" s="1" t="s">
        <v>48</v>
      </c>
      <c r="D25" s="1" t="s">
        <v>45</v>
      </c>
      <c r="E25" s="1" t="s">
        <v>24</v>
      </c>
      <c r="F25" s="1" t="s">
        <v>41</v>
      </c>
      <c r="G25" s="1" t="s">
        <v>37</v>
      </c>
      <c r="H25" s="1">
        <v>2</v>
      </c>
      <c r="I25" s="4">
        <v>9500</v>
      </c>
      <c r="J25" s="5">
        <v>0.05</v>
      </c>
      <c r="K25" s="1" t="s">
        <v>26</v>
      </c>
      <c r="L25">
        <f>Table2[[#This Row],[Quantity]]*Table2[[#This Row],[Unit_Price]]</f>
        <v>19000</v>
      </c>
      <c r="M25">
        <f>Table2[[#This Row],[Quantity]]*Table2[[#This Row],[Unit_Price]]*(1-Table2[[#This Row],[Discount]])</f>
        <v>18050</v>
      </c>
      <c r="N25" t="str">
        <f>IF(Table2[[#This Row],[Unit_Price]]&gt;=50000,"High value","normal")</f>
        <v>normal</v>
      </c>
    </row>
    <row r="26" spans="1:14" x14ac:dyDescent="0.3">
      <c r="A26" s="1" t="s">
        <v>70</v>
      </c>
      <c r="B26" s="3">
        <v>46075</v>
      </c>
      <c r="C26" s="1" t="s">
        <v>12</v>
      </c>
      <c r="D26" s="1" t="s">
        <v>58</v>
      </c>
      <c r="E26" s="1" t="s">
        <v>24</v>
      </c>
      <c r="F26" s="1" t="s">
        <v>56</v>
      </c>
      <c r="G26" s="1" t="s">
        <v>16</v>
      </c>
      <c r="H26" s="1">
        <v>4</v>
      </c>
      <c r="I26" s="4">
        <v>6500</v>
      </c>
      <c r="J26" s="5">
        <v>0.15</v>
      </c>
      <c r="K26" s="1" t="s">
        <v>29</v>
      </c>
      <c r="L26">
        <f>Table2[[#This Row],[Quantity]]*Table2[[#This Row],[Unit_Price]]</f>
        <v>26000</v>
      </c>
      <c r="M26">
        <f>Table2[[#This Row],[Quantity]]*Table2[[#This Row],[Unit_Price]]*(1-Table2[[#This Row],[Discount]])</f>
        <v>22100</v>
      </c>
      <c r="N26" t="str">
        <f>IF(Table2[[#This Row],[Unit_Price]]&gt;=50000,"High value","normal")</f>
        <v>normal</v>
      </c>
    </row>
    <row r="27" spans="1:14" x14ac:dyDescent="0.3">
      <c r="A27" s="1" t="s">
        <v>71</v>
      </c>
      <c r="B27" s="3">
        <v>46082</v>
      </c>
      <c r="C27" s="1" t="s">
        <v>72</v>
      </c>
      <c r="D27" s="1" t="s">
        <v>45</v>
      </c>
      <c r="E27" s="1" t="s">
        <v>24</v>
      </c>
      <c r="F27" s="1" t="s">
        <v>56</v>
      </c>
      <c r="G27" s="1" t="s">
        <v>16</v>
      </c>
      <c r="H27" s="1">
        <v>7</v>
      </c>
      <c r="I27" s="4">
        <v>9500</v>
      </c>
      <c r="J27" s="5">
        <v>0.15</v>
      </c>
      <c r="K27" s="1" t="s">
        <v>17</v>
      </c>
      <c r="L27">
        <f>Table2[[#This Row],[Quantity]]*Table2[[#This Row],[Unit_Price]]</f>
        <v>66500</v>
      </c>
      <c r="M27">
        <f>Table2[[#This Row],[Quantity]]*Table2[[#This Row],[Unit_Price]]*(1-Table2[[#This Row],[Discount]])</f>
        <v>56525</v>
      </c>
      <c r="N27" t="str">
        <f>IF(Table2[[#This Row],[Unit_Price]]&gt;=50000,"High value","normal")</f>
        <v>normal</v>
      </c>
    </row>
    <row r="28" spans="1:14" x14ac:dyDescent="0.3">
      <c r="A28" s="1" t="s">
        <v>73</v>
      </c>
      <c r="B28" s="3">
        <v>46054</v>
      </c>
      <c r="C28" s="1" t="s">
        <v>12</v>
      </c>
      <c r="D28" s="1" t="s">
        <v>19</v>
      </c>
      <c r="E28" s="1" t="s">
        <v>14</v>
      </c>
      <c r="F28" s="1" t="s">
        <v>15</v>
      </c>
      <c r="G28" s="1" t="s">
        <v>20</v>
      </c>
      <c r="H28" s="1">
        <v>6</v>
      </c>
      <c r="I28" s="4">
        <v>3500</v>
      </c>
      <c r="J28" s="5">
        <v>0</v>
      </c>
      <c r="K28" s="1" t="s">
        <v>29</v>
      </c>
      <c r="L28">
        <f>Table2[[#This Row],[Quantity]]*Table2[[#This Row],[Unit_Price]]</f>
        <v>21000</v>
      </c>
      <c r="M28">
        <f>Table2[[#This Row],[Quantity]]*Table2[[#This Row],[Unit_Price]]*(1-Table2[[#This Row],[Discount]])</f>
        <v>21000</v>
      </c>
      <c r="N28" t="str">
        <f>IF(Table2[[#This Row],[Unit_Price]]&gt;=50000,"High value","normal")</f>
        <v>normal</v>
      </c>
    </row>
    <row r="29" spans="1:14" x14ac:dyDescent="0.3">
      <c r="A29" s="1" t="s">
        <v>74</v>
      </c>
      <c r="B29" s="3">
        <v>46058</v>
      </c>
      <c r="C29" s="1" t="s">
        <v>40</v>
      </c>
      <c r="D29" s="1" t="s">
        <v>51</v>
      </c>
      <c r="E29" s="1" t="s">
        <v>14</v>
      </c>
      <c r="F29" s="1" t="s">
        <v>15</v>
      </c>
      <c r="G29" s="1" t="s">
        <v>16</v>
      </c>
      <c r="H29" s="1">
        <v>7</v>
      </c>
      <c r="I29" s="4">
        <v>1500</v>
      </c>
      <c r="J29" s="5">
        <v>0.05</v>
      </c>
      <c r="K29" s="1" t="s">
        <v>29</v>
      </c>
      <c r="L29">
        <f>Table2[[#This Row],[Quantity]]*Table2[[#This Row],[Unit_Price]]</f>
        <v>10500</v>
      </c>
      <c r="M29">
        <f>Table2[[#This Row],[Quantity]]*Table2[[#This Row],[Unit_Price]]*(1-Table2[[#This Row],[Discount]])</f>
        <v>9975</v>
      </c>
      <c r="N29" t="str">
        <f>IF(Table2[[#This Row],[Unit_Price]]&gt;=50000,"High value","normal")</f>
        <v>normal</v>
      </c>
    </row>
    <row r="30" spans="1:14" x14ac:dyDescent="0.3">
      <c r="A30" s="1" t="s">
        <v>75</v>
      </c>
      <c r="B30" s="3">
        <v>46034</v>
      </c>
      <c r="C30" s="1" t="s">
        <v>76</v>
      </c>
      <c r="D30" s="1" t="s">
        <v>13</v>
      </c>
      <c r="E30" s="1" t="s">
        <v>14</v>
      </c>
      <c r="F30" s="1" t="s">
        <v>15</v>
      </c>
      <c r="G30" s="1" t="s">
        <v>37</v>
      </c>
      <c r="H30" s="1">
        <v>1</v>
      </c>
      <c r="I30" s="4">
        <v>800</v>
      </c>
      <c r="J30" s="5">
        <v>0</v>
      </c>
      <c r="K30" s="1" t="s">
        <v>29</v>
      </c>
      <c r="L30">
        <f>Table2[[#This Row],[Quantity]]*Table2[[#This Row],[Unit_Price]]</f>
        <v>800</v>
      </c>
      <c r="M30">
        <f>Table2[[#This Row],[Quantity]]*Table2[[#This Row],[Unit_Price]]*(1-Table2[[#This Row],[Discount]])</f>
        <v>800</v>
      </c>
      <c r="N30" t="str">
        <f>IF(Table2[[#This Row],[Unit_Price]]&gt;=50000,"High value","normal")</f>
        <v>normal</v>
      </c>
    </row>
    <row r="31" spans="1:14" x14ac:dyDescent="0.3">
      <c r="A31" s="1" t="s">
        <v>77</v>
      </c>
      <c r="B31" s="3">
        <v>46074</v>
      </c>
      <c r="C31" s="1" t="s">
        <v>76</v>
      </c>
      <c r="D31" s="1" t="s">
        <v>58</v>
      </c>
      <c r="E31" s="1" t="s">
        <v>24</v>
      </c>
      <c r="F31" s="1" t="s">
        <v>56</v>
      </c>
      <c r="G31" s="1" t="s">
        <v>37</v>
      </c>
      <c r="H31" s="1">
        <v>8</v>
      </c>
      <c r="I31" s="4">
        <v>6500</v>
      </c>
      <c r="J31" s="5">
        <v>0.05</v>
      </c>
      <c r="K31" s="1" t="s">
        <v>29</v>
      </c>
      <c r="L31">
        <f>Table2[[#This Row],[Quantity]]*Table2[[#This Row],[Unit_Price]]</f>
        <v>52000</v>
      </c>
      <c r="M31">
        <f>Table2[[#This Row],[Quantity]]*Table2[[#This Row],[Unit_Price]]*(1-Table2[[#This Row],[Discount]])</f>
        <v>49400</v>
      </c>
      <c r="N31" t="str">
        <f>IF(Table2[[#This Row],[Unit_Price]]&gt;=50000,"High value","normal")</f>
        <v>normal</v>
      </c>
    </row>
    <row r="32" spans="1:14" x14ac:dyDescent="0.3">
      <c r="A32" s="1" t="s">
        <v>78</v>
      </c>
      <c r="B32" s="3">
        <v>46081</v>
      </c>
      <c r="C32" s="1" t="s">
        <v>31</v>
      </c>
      <c r="D32" s="1" t="s">
        <v>79</v>
      </c>
      <c r="E32" s="1" t="s">
        <v>24</v>
      </c>
      <c r="F32" s="1" t="s">
        <v>41</v>
      </c>
      <c r="G32" s="1" t="s">
        <v>20</v>
      </c>
      <c r="H32" s="1">
        <v>7</v>
      </c>
      <c r="I32" s="4">
        <v>55000</v>
      </c>
      <c r="J32" s="5">
        <v>0.1</v>
      </c>
      <c r="K32" s="1" t="s">
        <v>29</v>
      </c>
      <c r="L32">
        <f>Table2[[#This Row],[Quantity]]*Table2[[#This Row],[Unit_Price]]</f>
        <v>385000</v>
      </c>
      <c r="M32">
        <f>Table2[[#This Row],[Quantity]]*Table2[[#This Row],[Unit_Price]]*(1-Table2[[#This Row],[Discount]])</f>
        <v>346500</v>
      </c>
      <c r="N32" t="str">
        <f>IF(Table2[[#This Row],[Unit_Price]]&gt;=50000,"High value","normal")</f>
        <v>High value</v>
      </c>
    </row>
    <row r="33" spans="1:14" x14ac:dyDescent="0.3">
      <c r="A33" s="1" t="s">
        <v>80</v>
      </c>
      <c r="B33" s="3">
        <v>46050</v>
      </c>
      <c r="C33" s="1" t="s">
        <v>63</v>
      </c>
      <c r="D33" s="1" t="s">
        <v>51</v>
      </c>
      <c r="E33" s="1" t="s">
        <v>14</v>
      </c>
      <c r="F33" s="1" t="s">
        <v>56</v>
      </c>
      <c r="G33" s="1" t="s">
        <v>42</v>
      </c>
      <c r="H33" s="1">
        <v>4</v>
      </c>
      <c r="I33" s="4">
        <v>1500</v>
      </c>
      <c r="J33" s="5">
        <v>0.1</v>
      </c>
      <c r="K33" s="1" t="s">
        <v>17</v>
      </c>
      <c r="L33">
        <f>Table2[[#This Row],[Quantity]]*Table2[[#This Row],[Unit_Price]]</f>
        <v>6000</v>
      </c>
      <c r="M33">
        <f>Table2[[#This Row],[Quantity]]*Table2[[#This Row],[Unit_Price]]*(1-Table2[[#This Row],[Discount]])</f>
        <v>5400</v>
      </c>
      <c r="N33" t="str">
        <f>IF(Table2[[#This Row],[Unit_Price]]&gt;=50000,"High value","normal")</f>
        <v>normal</v>
      </c>
    </row>
    <row r="34" spans="1:14" x14ac:dyDescent="0.3">
      <c r="A34" s="1" t="s">
        <v>81</v>
      </c>
      <c r="B34" s="3">
        <v>46030</v>
      </c>
      <c r="C34" s="1" t="s">
        <v>53</v>
      </c>
      <c r="D34" s="1" t="s">
        <v>79</v>
      </c>
      <c r="E34" s="1" t="s">
        <v>24</v>
      </c>
      <c r="F34" s="1" t="s">
        <v>56</v>
      </c>
      <c r="G34" s="1" t="s">
        <v>37</v>
      </c>
      <c r="H34" s="1">
        <v>8</v>
      </c>
      <c r="I34" s="4">
        <v>55000</v>
      </c>
      <c r="J34" s="5">
        <v>0.05</v>
      </c>
      <c r="K34" s="1" t="s">
        <v>17</v>
      </c>
      <c r="L34">
        <f>Table2[[#This Row],[Quantity]]*Table2[[#This Row],[Unit_Price]]</f>
        <v>440000</v>
      </c>
      <c r="M34">
        <f>Table2[[#This Row],[Quantity]]*Table2[[#This Row],[Unit_Price]]*(1-Table2[[#This Row],[Discount]])</f>
        <v>418000</v>
      </c>
      <c r="N34" t="str">
        <f>IF(Table2[[#This Row],[Unit_Price]]&gt;=50000,"High value","normal")</f>
        <v>High value</v>
      </c>
    </row>
    <row r="35" spans="1:14" x14ac:dyDescent="0.3">
      <c r="A35" s="1" t="s">
        <v>82</v>
      </c>
      <c r="B35" s="3">
        <v>46038</v>
      </c>
      <c r="C35" s="1" t="s">
        <v>76</v>
      </c>
      <c r="D35" s="1" t="s">
        <v>13</v>
      </c>
      <c r="E35" s="1" t="s">
        <v>14</v>
      </c>
      <c r="F35" s="1" t="s">
        <v>15</v>
      </c>
      <c r="G35" s="1" t="s">
        <v>20</v>
      </c>
      <c r="H35" s="1">
        <v>4</v>
      </c>
      <c r="I35" s="4">
        <v>800</v>
      </c>
      <c r="J35" s="5">
        <v>0.15</v>
      </c>
      <c r="K35" s="1" t="s">
        <v>17</v>
      </c>
      <c r="L35">
        <f>Table2[[#This Row],[Quantity]]*Table2[[#This Row],[Unit_Price]]</f>
        <v>3200</v>
      </c>
      <c r="M35">
        <f>Table2[[#This Row],[Quantity]]*Table2[[#This Row],[Unit_Price]]*(1-Table2[[#This Row],[Discount]])</f>
        <v>2720</v>
      </c>
      <c r="N35" t="str">
        <f>IF(Table2[[#This Row],[Unit_Price]]&gt;=50000,"High value","normal")</f>
        <v>normal</v>
      </c>
    </row>
    <row r="36" spans="1:14" x14ac:dyDescent="0.3">
      <c r="A36" s="1" t="s">
        <v>83</v>
      </c>
      <c r="B36" s="3">
        <v>46056</v>
      </c>
      <c r="C36" s="1" t="s">
        <v>12</v>
      </c>
      <c r="D36" s="1" t="s">
        <v>13</v>
      </c>
      <c r="E36" s="1" t="s">
        <v>14</v>
      </c>
      <c r="F36" s="1" t="s">
        <v>25</v>
      </c>
      <c r="G36" s="1" t="s">
        <v>37</v>
      </c>
      <c r="H36" s="1">
        <v>7</v>
      </c>
      <c r="I36" s="4">
        <v>800</v>
      </c>
      <c r="J36" s="5">
        <v>0.1</v>
      </c>
      <c r="K36" s="1" t="s">
        <v>38</v>
      </c>
      <c r="L36">
        <f>Table2[[#This Row],[Quantity]]*Table2[[#This Row],[Unit_Price]]</f>
        <v>5600</v>
      </c>
      <c r="M36">
        <f>Table2[[#This Row],[Quantity]]*Table2[[#This Row],[Unit_Price]]*(1-Table2[[#This Row],[Discount]])</f>
        <v>5040</v>
      </c>
      <c r="N36" t="str">
        <f>IF(Table2[[#This Row],[Unit_Price]]&gt;=50000,"High value","normal")</f>
        <v>normal</v>
      </c>
    </row>
    <row r="37" spans="1:14" x14ac:dyDescent="0.3">
      <c r="A37" s="1" t="s">
        <v>84</v>
      </c>
      <c r="B37" s="3">
        <v>46081</v>
      </c>
      <c r="C37" s="1" t="s">
        <v>35</v>
      </c>
      <c r="D37" s="1" t="s">
        <v>19</v>
      </c>
      <c r="E37" s="1" t="s">
        <v>14</v>
      </c>
      <c r="F37" s="1" t="s">
        <v>56</v>
      </c>
      <c r="G37" s="1" t="s">
        <v>16</v>
      </c>
      <c r="H37" s="1">
        <v>3</v>
      </c>
      <c r="I37" s="4">
        <v>3500</v>
      </c>
      <c r="J37" s="5">
        <v>0.1</v>
      </c>
      <c r="K37" s="1" t="s">
        <v>29</v>
      </c>
      <c r="L37">
        <f>Table2[[#This Row],[Quantity]]*Table2[[#This Row],[Unit_Price]]</f>
        <v>10500</v>
      </c>
      <c r="M37">
        <f>Table2[[#This Row],[Quantity]]*Table2[[#This Row],[Unit_Price]]*(1-Table2[[#This Row],[Discount]])</f>
        <v>9450</v>
      </c>
      <c r="N37" t="str">
        <f>IF(Table2[[#This Row],[Unit_Price]]&gt;=50000,"High value","normal")</f>
        <v>normal</v>
      </c>
    </row>
    <row r="38" spans="1:14" x14ac:dyDescent="0.3">
      <c r="A38" s="1" t="s">
        <v>85</v>
      </c>
      <c r="B38" s="3">
        <v>46087</v>
      </c>
      <c r="C38" s="1" t="s">
        <v>31</v>
      </c>
      <c r="D38" s="1" t="s">
        <v>13</v>
      </c>
      <c r="E38" s="1" t="s">
        <v>14</v>
      </c>
      <c r="F38" s="1" t="s">
        <v>15</v>
      </c>
      <c r="G38" s="1" t="s">
        <v>42</v>
      </c>
      <c r="H38" s="1">
        <v>2</v>
      </c>
      <c r="I38" s="4">
        <v>800</v>
      </c>
      <c r="J38" s="5">
        <v>0.05</v>
      </c>
      <c r="K38" s="1" t="s">
        <v>17</v>
      </c>
      <c r="L38">
        <f>Table2[[#This Row],[Quantity]]*Table2[[#This Row],[Unit_Price]]</f>
        <v>1600</v>
      </c>
      <c r="M38">
        <f>Table2[[#This Row],[Quantity]]*Table2[[#This Row],[Unit_Price]]*(1-Table2[[#This Row],[Discount]])</f>
        <v>1520</v>
      </c>
      <c r="N38" t="str">
        <f>IF(Table2[[#This Row],[Unit_Price]]&gt;=50000,"High value","normal")</f>
        <v>normal</v>
      </c>
    </row>
    <row r="39" spans="1:14" x14ac:dyDescent="0.3">
      <c r="A39" s="1" t="s">
        <v>86</v>
      </c>
      <c r="B39" s="3">
        <v>46043</v>
      </c>
      <c r="C39" s="1" t="s">
        <v>40</v>
      </c>
      <c r="D39" s="1" t="s">
        <v>23</v>
      </c>
      <c r="E39" s="1" t="s">
        <v>24</v>
      </c>
      <c r="F39" s="1" t="s">
        <v>25</v>
      </c>
      <c r="G39" s="1" t="s">
        <v>20</v>
      </c>
      <c r="H39" s="1">
        <v>6</v>
      </c>
      <c r="I39" s="4">
        <v>12000</v>
      </c>
      <c r="J39" s="5">
        <v>0.1</v>
      </c>
      <c r="K39" s="1" t="s">
        <v>17</v>
      </c>
      <c r="L39">
        <f>Table2[[#This Row],[Quantity]]*Table2[[#This Row],[Unit_Price]]</f>
        <v>72000</v>
      </c>
      <c r="M39">
        <f>Table2[[#This Row],[Quantity]]*Table2[[#This Row],[Unit_Price]]*(1-Table2[[#This Row],[Discount]])</f>
        <v>64800</v>
      </c>
      <c r="N39" t="str">
        <f>IF(Table2[[#This Row],[Unit_Price]]&gt;=50000,"High value","normal")</f>
        <v>normal</v>
      </c>
    </row>
    <row r="40" spans="1:14" x14ac:dyDescent="0.3">
      <c r="A40" s="1" t="s">
        <v>87</v>
      </c>
      <c r="B40" s="3">
        <v>46056</v>
      </c>
      <c r="C40" s="1" t="s">
        <v>33</v>
      </c>
      <c r="D40" s="1" t="s">
        <v>36</v>
      </c>
      <c r="E40" s="1" t="s">
        <v>14</v>
      </c>
      <c r="F40" s="1" t="s">
        <v>56</v>
      </c>
      <c r="G40" s="1" t="s">
        <v>20</v>
      </c>
      <c r="H40" s="1">
        <v>2</v>
      </c>
      <c r="I40" s="4">
        <v>2200</v>
      </c>
      <c r="J40" s="5">
        <v>0.05</v>
      </c>
      <c r="K40" s="1" t="s">
        <v>26</v>
      </c>
      <c r="L40">
        <f>Table2[[#This Row],[Quantity]]*Table2[[#This Row],[Unit_Price]]</f>
        <v>4400</v>
      </c>
      <c r="M40">
        <f>Table2[[#This Row],[Quantity]]*Table2[[#This Row],[Unit_Price]]*(1-Table2[[#This Row],[Discount]])</f>
        <v>4180</v>
      </c>
      <c r="N40" t="str">
        <f>IF(Table2[[#This Row],[Unit_Price]]&gt;=50000,"High value","normal")</f>
        <v>normal</v>
      </c>
    </row>
    <row r="41" spans="1:14" x14ac:dyDescent="0.3">
      <c r="A41" s="1" t="s">
        <v>88</v>
      </c>
      <c r="B41" s="3">
        <v>46066</v>
      </c>
      <c r="C41" s="1" t="s">
        <v>12</v>
      </c>
      <c r="D41" s="1" t="s">
        <v>36</v>
      </c>
      <c r="E41" s="1" t="s">
        <v>14</v>
      </c>
      <c r="F41" s="1" t="s">
        <v>25</v>
      </c>
      <c r="G41" s="1" t="s">
        <v>20</v>
      </c>
      <c r="H41" s="1">
        <v>5</v>
      </c>
      <c r="I41" s="4">
        <v>2200</v>
      </c>
      <c r="J41" s="5">
        <v>0.05</v>
      </c>
      <c r="K41" s="1" t="s">
        <v>29</v>
      </c>
      <c r="L41">
        <f>Table2[[#This Row],[Quantity]]*Table2[[#This Row],[Unit_Price]]</f>
        <v>11000</v>
      </c>
      <c r="M41">
        <f>Table2[[#This Row],[Quantity]]*Table2[[#This Row],[Unit_Price]]*(1-Table2[[#This Row],[Discount]])</f>
        <v>10450</v>
      </c>
      <c r="N41" t="str">
        <f>IF(Table2[[#This Row],[Unit_Price]]&gt;=50000,"High value","normal")</f>
        <v>normal</v>
      </c>
    </row>
    <row r="42" spans="1:14" x14ac:dyDescent="0.3">
      <c r="A42" s="1" t="s">
        <v>89</v>
      </c>
      <c r="B42" s="3">
        <v>46104</v>
      </c>
      <c r="C42" s="1" t="s">
        <v>55</v>
      </c>
      <c r="D42" s="1" t="s">
        <v>36</v>
      </c>
      <c r="E42" s="1" t="s">
        <v>14</v>
      </c>
      <c r="F42" s="1" t="s">
        <v>25</v>
      </c>
      <c r="G42" s="1" t="s">
        <v>16</v>
      </c>
      <c r="H42" s="1">
        <v>1</v>
      </c>
      <c r="I42" s="4">
        <v>2200</v>
      </c>
      <c r="J42" s="5">
        <v>0</v>
      </c>
      <c r="K42" s="1" t="s">
        <v>17</v>
      </c>
      <c r="L42">
        <f>Table2[[#This Row],[Quantity]]*Table2[[#This Row],[Unit_Price]]</f>
        <v>2200</v>
      </c>
      <c r="M42">
        <f>Table2[[#This Row],[Quantity]]*Table2[[#This Row],[Unit_Price]]*(1-Table2[[#This Row],[Discount]])</f>
        <v>2200</v>
      </c>
      <c r="N42" t="str">
        <f>IF(Table2[[#This Row],[Unit_Price]]&gt;=50000,"High value","normal")</f>
        <v>normal</v>
      </c>
    </row>
    <row r="43" spans="1:14" x14ac:dyDescent="0.3">
      <c r="A43" s="1" t="s">
        <v>90</v>
      </c>
      <c r="B43" s="3">
        <v>46043</v>
      </c>
      <c r="C43" s="1" t="s">
        <v>50</v>
      </c>
      <c r="D43" s="1" t="s">
        <v>45</v>
      </c>
      <c r="E43" s="1" t="s">
        <v>24</v>
      </c>
      <c r="F43" s="1" t="s">
        <v>41</v>
      </c>
      <c r="G43" s="1" t="s">
        <v>20</v>
      </c>
      <c r="H43" s="1">
        <v>3</v>
      </c>
      <c r="I43" s="4">
        <v>9500</v>
      </c>
      <c r="J43" s="5">
        <v>0.1</v>
      </c>
      <c r="K43" s="1" t="s">
        <v>29</v>
      </c>
      <c r="L43">
        <f>Table2[[#This Row],[Quantity]]*Table2[[#This Row],[Unit_Price]]</f>
        <v>28500</v>
      </c>
      <c r="M43">
        <f>Table2[[#This Row],[Quantity]]*Table2[[#This Row],[Unit_Price]]*(1-Table2[[#This Row],[Discount]])</f>
        <v>25650</v>
      </c>
      <c r="N43" t="str">
        <f>IF(Table2[[#This Row],[Unit_Price]]&gt;=50000,"High value","normal")</f>
        <v>normal</v>
      </c>
    </row>
    <row r="44" spans="1:14" x14ac:dyDescent="0.3">
      <c r="A44" s="1" t="s">
        <v>91</v>
      </c>
      <c r="B44" s="3">
        <v>46111</v>
      </c>
      <c r="C44" s="1" t="s">
        <v>76</v>
      </c>
      <c r="D44" s="1" t="s">
        <v>79</v>
      </c>
      <c r="E44" s="1" t="s">
        <v>24</v>
      </c>
      <c r="F44" s="1" t="s">
        <v>15</v>
      </c>
      <c r="G44" s="1" t="s">
        <v>20</v>
      </c>
      <c r="H44" s="1">
        <v>2</v>
      </c>
      <c r="I44" s="4">
        <v>55000</v>
      </c>
      <c r="J44" s="5">
        <v>0</v>
      </c>
      <c r="K44" s="1" t="s">
        <v>17</v>
      </c>
      <c r="L44">
        <f>Table2[[#This Row],[Quantity]]*Table2[[#This Row],[Unit_Price]]</f>
        <v>110000</v>
      </c>
      <c r="M44">
        <f>Table2[[#This Row],[Quantity]]*Table2[[#This Row],[Unit_Price]]*(1-Table2[[#This Row],[Discount]])</f>
        <v>110000</v>
      </c>
      <c r="N44" t="str">
        <f>IF(Table2[[#This Row],[Unit_Price]]&gt;=50000,"High value","normal")</f>
        <v>High value</v>
      </c>
    </row>
    <row r="45" spans="1:14" x14ac:dyDescent="0.3">
      <c r="A45" s="1" t="s">
        <v>92</v>
      </c>
      <c r="B45" s="3">
        <v>46039</v>
      </c>
      <c r="C45" s="1" t="s">
        <v>63</v>
      </c>
      <c r="D45" s="1" t="s">
        <v>45</v>
      </c>
      <c r="E45" s="1" t="s">
        <v>24</v>
      </c>
      <c r="F45" s="1" t="s">
        <v>25</v>
      </c>
      <c r="G45" s="1" t="s">
        <v>42</v>
      </c>
      <c r="H45" s="1">
        <v>3</v>
      </c>
      <c r="I45" s="4">
        <v>9500</v>
      </c>
      <c r="J45" s="5">
        <v>0.15</v>
      </c>
      <c r="K45" s="1" t="s">
        <v>17</v>
      </c>
      <c r="L45">
        <f>Table2[[#This Row],[Quantity]]*Table2[[#This Row],[Unit_Price]]</f>
        <v>28500</v>
      </c>
      <c r="M45">
        <f>Table2[[#This Row],[Quantity]]*Table2[[#This Row],[Unit_Price]]*(1-Table2[[#This Row],[Discount]])</f>
        <v>24225</v>
      </c>
      <c r="N45" t="str">
        <f>IF(Table2[[#This Row],[Unit_Price]]&gt;=50000,"High value","normal")</f>
        <v>normal</v>
      </c>
    </row>
    <row r="46" spans="1:14" x14ac:dyDescent="0.3">
      <c r="A46" s="1" t="s">
        <v>93</v>
      </c>
      <c r="B46" s="3">
        <v>46108</v>
      </c>
      <c r="C46" s="1" t="s">
        <v>33</v>
      </c>
      <c r="D46" s="1" t="s">
        <v>45</v>
      </c>
      <c r="E46" s="1" t="s">
        <v>24</v>
      </c>
      <c r="F46" s="1" t="s">
        <v>25</v>
      </c>
      <c r="G46" s="1" t="s">
        <v>20</v>
      </c>
      <c r="H46" s="1">
        <v>4</v>
      </c>
      <c r="I46" s="4">
        <v>9500</v>
      </c>
      <c r="J46" s="5">
        <v>0.05</v>
      </c>
      <c r="K46" s="1" t="s">
        <v>29</v>
      </c>
      <c r="L46">
        <f>Table2[[#This Row],[Quantity]]*Table2[[#This Row],[Unit_Price]]</f>
        <v>38000</v>
      </c>
      <c r="M46">
        <f>Table2[[#This Row],[Quantity]]*Table2[[#This Row],[Unit_Price]]*(1-Table2[[#This Row],[Discount]])</f>
        <v>36100</v>
      </c>
      <c r="N46" t="str">
        <f>IF(Table2[[#This Row],[Unit_Price]]&gt;=50000,"High value","normal")</f>
        <v>normal</v>
      </c>
    </row>
    <row r="47" spans="1:14" x14ac:dyDescent="0.3">
      <c r="A47" s="1" t="s">
        <v>94</v>
      </c>
      <c r="B47" s="3">
        <v>46045</v>
      </c>
      <c r="C47" s="1" t="s">
        <v>76</v>
      </c>
      <c r="D47" s="1" t="s">
        <v>51</v>
      </c>
      <c r="E47" s="1" t="s">
        <v>14</v>
      </c>
      <c r="F47" s="1" t="s">
        <v>41</v>
      </c>
      <c r="G47" s="1" t="s">
        <v>16</v>
      </c>
      <c r="H47" s="1">
        <v>4</v>
      </c>
      <c r="I47" s="4">
        <v>1500</v>
      </c>
      <c r="J47" s="5">
        <v>0.05</v>
      </c>
      <c r="K47" s="1" t="s">
        <v>26</v>
      </c>
      <c r="L47">
        <f>Table2[[#This Row],[Quantity]]*Table2[[#This Row],[Unit_Price]]</f>
        <v>6000</v>
      </c>
      <c r="M47">
        <f>Table2[[#This Row],[Quantity]]*Table2[[#This Row],[Unit_Price]]*(1-Table2[[#This Row],[Discount]])</f>
        <v>5700</v>
      </c>
      <c r="N47" t="str">
        <f>IF(Table2[[#This Row],[Unit_Price]]&gt;=50000,"High value","normal")</f>
        <v>normal</v>
      </c>
    </row>
    <row r="48" spans="1:14" x14ac:dyDescent="0.3">
      <c r="A48" s="1" t="s">
        <v>95</v>
      </c>
      <c r="B48" s="3">
        <v>46057</v>
      </c>
      <c r="C48" s="1" t="s">
        <v>60</v>
      </c>
      <c r="D48" s="1" t="s">
        <v>45</v>
      </c>
      <c r="E48" s="1" t="s">
        <v>24</v>
      </c>
      <c r="F48" s="1" t="s">
        <v>56</v>
      </c>
      <c r="G48" s="1" t="s">
        <v>46</v>
      </c>
      <c r="H48" s="1">
        <v>7</v>
      </c>
      <c r="I48" s="4">
        <v>9500</v>
      </c>
      <c r="J48" s="5">
        <v>0.05</v>
      </c>
      <c r="K48" s="1" t="s">
        <v>17</v>
      </c>
      <c r="L48">
        <f>Table2[[#This Row],[Quantity]]*Table2[[#This Row],[Unit_Price]]</f>
        <v>66500</v>
      </c>
      <c r="M48">
        <f>Table2[[#This Row],[Quantity]]*Table2[[#This Row],[Unit_Price]]*(1-Table2[[#This Row],[Discount]])</f>
        <v>63175</v>
      </c>
      <c r="N48" t="str">
        <f>IF(Table2[[#This Row],[Unit_Price]]&gt;=50000,"High value","normal")</f>
        <v>normal</v>
      </c>
    </row>
    <row r="49" spans="1:14" x14ac:dyDescent="0.3">
      <c r="A49" s="1" t="s">
        <v>96</v>
      </c>
      <c r="B49" s="3">
        <v>46081</v>
      </c>
      <c r="C49" s="1" t="s">
        <v>35</v>
      </c>
      <c r="D49" s="1" t="s">
        <v>58</v>
      </c>
      <c r="E49" s="1" t="s">
        <v>24</v>
      </c>
      <c r="F49" s="1" t="s">
        <v>25</v>
      </c>
      <c r="G49" s="1" t="s">
        <v>37</v>
      </c>
      <c r="H49" s="1">
        <v>4</v>
      </c>
      <c r="I49" s="4">
        <v>6500</v>
      </c>
      <c r="J49" s="5">
        <v>0.05</v>
      </c>
      <c r="K49" s="1" t="s">
        <v>26</v>
      </c>
      <c r="L49">
        <f>Table2[[#This Row],[Quantity]]*Table2[[#This Row],[Unit_Price]]</f>
        <v>26000</v>
      </c>
      <c r="M49">
        <f>Table2[[#This Row],[Quantity]]*Table2[[#This Row],[Unit_Price]]*(1-Table2[[#This Row],[Discount]])</f>
        <v>24700</v>
      </c>
      <c r="N49" t="str">
        <f>IF(Table2[[#This Row],[Unit_Price]]&gt;=50000,"High value","normal")</f>
        <v>normal</v>
      </c>
    </row>
    <row r="50" spans="1:14" x14ac:dyDescent="0.3">
      <c r="A50" s="1" t="s">
        <v>97</v>
      </c>
      <c r="B50" s="3">
        <v>46065</v>
      </c>
      <c r="C50" s="1" t="s">
        <v>31</v>
      </c>
      <c r="D50" s="1" t="s">
        <v>79</v>
      </c>
      <c r="E50" s="1" t="s">
        <v>24</v>
      </c>
      <c r="F50" s="1" t="s">
        <v>56</v>
      </c>
      <c r="G50" s="1" t="s">
        <v>42</v>
      </c>
      <c r="H50" s="1">
        <v>4</v>
      </c>
      <c r="I50" s="4">
        <v>55000</v>
      </c>
      <c r="J50" s="5">
        <v>0.15</v>
      </c>
      <c r="K50" s="1" t="s">
        <v>38</v>
      </c>
      <c r="L50">
        <f>Table2[[#This Row],[Quantity]]*Table2[[#This Row],[Unit_Price]]</f>
        <v>220000</v>
      </c>
      <c r="M50">
        <f>Table2[[#This Row],[Quantity]]*Table2[[#This Row],[Unit_Price]]*(1-Table2[[#This Row],[Discount]])</f>
        <v>187000</v>
      </c>
      <c r="N50" t="str">
        <f>IF(Table2[[#This Row],[Unit_Price]]&gt;=50000,"High value","normal")</f>
        <v>High value</v>
      </c>
    </row>
    <row r="51" spans="1:14" x14ac:dyDescent="0.3">
      <c r="A51" s="1" t="s">
        <v>98</v>
      </c>
      <c r="B51" s="3">
        <v>46037</v>
      </c>
      <c r="C51" s="1" t="s">
        <v>76</v>
      </c>
      <c r="D51" s="1" t="s">
        <v>19</v>
      </c>
      <c r="E51" s="1" t="s">
        <v>14</v>
      </c>
      <c r="F51" s="1" t="s">
        <v>25</v>
      </c>
      <c r="G51" s="1" t="s">
        <v>37</v>
      </c>
      <c r="H51" s="1">
        <v>6</v>
      </c>
      <c r="I51" s="4">
        <v>3500</v>
      </c>
      <c r="J51" s="5">
        <v>0</v>
      </c>
      <c r="K51" s="1" t="s">
        <v>38</v>
      </c>
      <c r="L51">
        <f>Table2[[#This Row],[Quantity]]*Table2[[#This Row],[Unit_Price]]</f>
        <v>21000</v>
      </c>
      <c r="M51">
        <f>Table2[[#This Row],[Quantity]]*Table2[[#This Row],[Unit_Price]]*(1-Table2[[#This Row],[Discount]])</f>
        <v>21000</v>
      </c>
      <c r="N51" t="str">
        <f>IF(Table2[[#This Row],[Unit_Price]]&gt;=50000,"High value","normal")</f>
        <v>normal</v>
      </c>
    </row>
    <row r="53" spans="1:14" x14ac:dyDescent="0.3">
      <c r="G53" t="s">
        <v>99</v>
      </c>
      <c r="H53">
        <f>SUM(H2:H51)</f>
        <v>199</v>
      </c>
    </row>
    <row r="54" spans="1:14" x14ac:dyDescent="0.3">
      <c r="G54" t="s">
        <v>100</v>
      </c>
      <c r="H54" s="4">
        <f>AVERAGE(I2:I51)</f>
        <v>8692</v>
      </c>
      <c r="K54" t="s">
        <v>111</v>
      </c>
    </row>
    <row r="55" spans="1:14" x14ac:dyDescent="0.3">
      <c r="G55" t="s">
        <v>101</v>
      </c>
      <c r="H55">
        <f>MAX(Table2[Unit_Price])</f>
        <v>55000</v>
      </c>
    </row>
    <row r="56" spans="1:14" x14ac:dyDescent="0.3">
      <c r="G56" t="s">
        <v>102</v>
      </c>
      <c r="H56">
        <f>MIN(Table2[Unit_Price])</f>
        <v>800</v>
      </c>
      <c r="K56" t="s">
        <v>109</v>
      </c>
      <c r="L56" t="s">
        <v>110</v>
      </c>
    </row>
    <row r="57" spans="1:14" x14ac:dyDescent="0.3">
      <c r="A57" s="2" t="s">
        <v>3</v>
      </c>
      <c r="B57" s="2" t="s">
        <v>4</v>
      </c>
      <c r="C57" s="2" t="s">
        <v>8</v>
      </c>
      <c r="D57" s="2" t="s">
        <v>113</v>
      </c>
      <c r="E57" s="2" t="s">
        <v>114</v>
      </c>
      <c r="G57" t="s">
        <v>103</v>
      </c>
      <c r="H57">
        <f>COUNTA(Table2[Order_ID])</f>
        <v>50</v>
      </c>
      <c r="K57" t="s">
        <v>79</v>
      </c>
      <c r="L57" t="str">
        <f>_xlfn.XLOOKUP(K57,Table2[Product],Table2[Category])</f>
        <v>Electronics</v>
      </c>
    </row>
    <row r="58" spans="1:14" x14ac:dyDescent="0.3">
      <c r="A58" s="1" t="s">
        <v>79</v>
      </c>
      <c r="B58" s="1" t="s">
        <v>24</v>
      </c>
      <c r="C58" s="4">
        <v>55000</v>
      </c>
      <c r="D58" s="1" t="s">
        <v>115</v>
      </c>
      <c r="E58" s="1" t="s">
        <v>116</v>
      </c>
      <c r="G58" t="s">
        <v>105</v>
      </c>
      <c r="H58">
        <f>COUNTIF(Table2[Payment_Mode],"UPI")</f>
        <v>8</v>
      </c>
      <c r="L58" t="e">
        <f>_xlfn.XLOOKUP(K58,Table2[Product],Table2[Category])</f>
        <v>#N/A</v>
      </c>
    </row>
    <row r="59" spans="1:14" x14ac:dyDescent="0.3">
      <c r="A59" s="1" t="s">
        <v>13</v>
      </c>
      <c r="B59" s="1" t="s">
        <v>14</v>
      </c>
      <c r="C59" s="4">
        <v>800</v>
      </c>
      <c r="D59" s="1" t="s">
        <v>117</v>
      </c>
      <c r="E59" s="1" t="s">
        <v>116</v>
      </c>
      <c r="G59" t="s">
        <v>106</v>
      </c>
      <c r="H59">
        <f>SUMIF(Table2[Region],"South",Table2[Quantity])</f>
        <v>28</v>
      </c>
    </row>
    <row r="60" spans="1:14" x14ac:dyDescent="0.3">
      <c r="A60" s="1" t="s">
        <v>51</v>
      </c>
      <c r="B60" s="1" t="s">
        <v>14</v>
      </c>
      <c r="C60" s="4">
        <v>1500</v>
      </c>
      <c r="D60" s="1" t="s">
        <v>118</v>
      </c>
      <c r="E60" s="1" t="s">
        <v>116</v>
      </c>
      <c r="G60" t="s">
        <v>106</v>
      </c>
      <c r="H60">
        <f>SUMIF(Table2[Category],"Electronics",Table2[Quantity])</f>
        <v>90</v>
      </c>
    </row>
    <row r="61" spans="1:14" x14ac:dyDescent="0.3">
      <c r="A61" s="1" t="s">
        <v>23</v>
      </c>
      <c r="B61" s="1" t="s">
        <v>24</v>
      </c>
      <c r="C61" s="4">
        <v>12000</v>
      </c>
      <c r="D61" s="1" t="s">
        <v>115</v>
      </c>
      <c r="E61" s="1" t="s">
        <v>116</v>
      </c>
      <c r="H61" s="6"/>
      <c r="K61" t="s">
        <v>109</v>
      </c>
      <c r="L61" t="s">
        <v>112</v>
      </c>
    </row>
    <row r="62" spans="1:14" x14ac:dyDescent="0.3">
      <c r="A62" s="1" t="s">
        <v>36</v>
      </c>
      <c r="B62" s="1" t="s">
        <v>14</v>
      </c>
      <c r="C62" s="4">
        <v>2200</v>
      </c>
      <c r="D62" s="1" t="s">
        <v>119</v>
      </c>
      <c r="E62" s="1" t="s">
        <v>116</v>
      </c>
      <c r="G62" t="s">
        <v>106</v>
      </c>
      <c r="H62">
        <f>SUMIF(Table2[Salesperson],"Priya",Table2[arithmetic 2])</f>
        <v>555530</v>
      </c>
      <c r="K62" t="s">
        <v>16</v>
      </c>
      <c r="L62" t="str">
        <f>_xlfn.XLOOKUP(K62,Table2[Salesperson],Table2[Product])</f>
        <v>Mouse</v>
      </c>
    </row>
    <row r="63" spans="1:14" x14ac:dyDescent="0.3">
      <c r="A63" s="1" t="s">
        <v>45</v>
      </c>
      <c r="B63" s="1" t="s">
        <v>24</v>
      </c>
      <c r="C63" s="4">
        <v>9500</v>
      </c>
      <c r="D63" s="1" t="s">
        <v>115</v>
      </c>
      <c r="E63" s="1" t="s">
        <v>120</v>
      </c>
    </row>
    <row r="64" spans="1:14" x14ac:dyDescent="0.3">
      <c r="A64" s="1" t="s">
        <v>19</v>
      </c>
      <c r="B64" s="1" t="s">
        <v>14</v>
      </c>
      <c r="C64" s="4">
        <v>3500</v>
      </c>
      <c r="D64" s="1" t="s">
        <v>117</v>
      </c>
      <c r="E64" s="1" t="s">
        <v>116</v>
      </c>
    </row>
    <row r="65" spans="1:12" x14ac:dyDescent="0.3">
      <c r="A65" s="1" t="s">
        <v>58</v>
      </c>
      <c r="B65" s="1" t="s">
        <v>24</v>
      </c>
      <c r="C65" s="4">
        <v>6500</v>
      </c>
      <c r="D65" s="1" t="s">
        <v>119</v>
      </c>
      <c r="E65" s="1" t="s">
        <v>116</v>
      </c>
    </row>
    <row r="66" spans="1:12" x14ac:dyDescent="0.3">
      <c r="K66" t="s">
        <v>109</v>
      </c>
      <c r="L66" t="s">
        <v>121</v>
      </c>
    </row>
    <row r="67" spans="1:12" x14ac:dyDescent="0.3">
      <c r="K67" t="s">
        <v>45</v>
      </c>
      <c r="L67" t="str">
        <f>_xlfn.XLOOKUP(K67,ProductLookupTable[Product],ProductLookupTable[Stock_Status])</f>
        <v>Low Stock</v>
      </c>
    </row>
  </sheetData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Shanu Ashraf</dc:creator>
  <cp:lastModifiedBy>Shanu Ashraf</cp:lastModifiedBy>
  <dcterms:created xsi:type="dcterms:W3CDTF">2026-10-03T08:32:21Z</dcterms:created>
  <dcterms:modified xsi:type="dcterms:W3CDTF">2026-10-03T10:09:59Z</dcterms:modified>
</cp:coreProperties>
</file>